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2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sz val="11"/>
    </font>
    <font>
      <name val="等线"/>
      <b val="1"/>
      <sz val="11"/>
    </font>
    <font>
      <name val="等线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9" fontId="1" fillId="0" borderId="0" applyAlignment="1">
      <alignment vertical="center"/>
    </xf>
  </cellStyleXfs>
  <cellXfs count="2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0" fontId="0" fillId="0" borderId="0" applyAlignment="1" pivotButton="0" quotePrefix="0" xfId="1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textRotation="45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1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center" vertical="center" textRotation="255" wrapText="1"/>
    </xf>
    <xf numFmtId="0" fontId="5" fillId="0" borderId="0" applyAlignment="1" pivotButton="0" quotePrefix="0" xfId="0">
      <alignment horizontal="center" vertical="center" wrapText="1"/>
    </xf>
    <xf numFmtId="10" fontId="5" fillId="0" borderId="0" applyAlignment="1" pivotButton="0" quotePrefix="0" xfId="1">
      <alignment horizontal="center" vertical="center" wrapText="1"/>
    </xf>
    <xf numFmtId="2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1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textRotation="45" wrapText="1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数据核对</author>
    <author>sources</author>
  </authors>
  <commentList>
    <comment ref="H27" authorId="0" shapeId="0">
      <text>
        <t>2025年花生、油菜籽分项尚未公布。《中国统计年鉴2026》截至2026年9月29日未上网；《2025年国民经济和社会发展统计公报》只公布油料合计4096万吨。</t>
      </text>
    </comment>
    <comment ref="I27" authorId="0" shapeId="0">
      <text>
        <t>2025年花生、油菜籽分项尚未公布。《中国统计年鉴2026》截至2026年9月29日未上网；《2025年国民经济和社会发展统计公报》只公布油料合计4096万吨。</t>
      </text>
    </comment>
    <comment ref="G62" authorId="1" shapeId="0">
      <text>
        <t>2025 peanut and rapeseed are not yet published as separate national totals. The 2025 statistical communique reports only total oil-bearing crops at 40.96 million tons.</t>
      </text>
    </comment>
    <comment ref="H62" authorId="1" shapeId="0">
      <text>
        <t>2025 peanut and rapeseed are not yet published as separate national totals. The 2025 statistical communique reports only total oil-bearing crops at 40.96 million tons.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tabSelected="1" topLeftCell="A13" workbookViewId="0">
      <selection activeCell="A33" sqref="A33:J66"/>
    </sheetView>
  </sheetViews>
  <sheetFormatPr baseColWidth="8" defaultRowHeight="14.2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5" t="n"/>
      <c r="B1" s="5" t="n"/>
      <c r="C1" s="5" t="inlineStr">
        <is>
          <t>中国主要农作物产量（单位：百万吨）</t>
        </is>
      </c>
    </row>
    <row r="2">
      <c r="A2" s="5" t="n"/>
      <c r="B2" s="2" t="inlineStr">
        <is>
          <t>年份</t>
        </is>
      </c>
      <c r="C2" s="2" t="inlineStr">
        <is>
          <t>玉米</t>
        </is>
      </c>
      <c r="D2" s="2" t="inlineStr">
        <is>
          <t>水稻</t>
        </is>
      </c>
      <c r="E2" s="2" t="inlineStr">
        <is>
          <t>小麦</t>
        </is>
      </c>
      <c r="F2" s="2" t="inlineStr">
        <is>
          <t>其它谷物</t>
        </is>
      </c>
      <c r="G2" s="2" t="inlineStr">
        <is>
          <t>棉花</t>
        </is>
      </c>
      <c r="H2" s="2" t="inlineStr">
        <is>
          <t>油菜</t>
        </is>
      </c>
      <c r="I2" s="2" t="inlineStr">
        <is>
          <t>花生</t>
        </is>
      </c>
      <c r="J2" s="2" t="inlineStr">
        <is>
          <t>豆类</t>
        </is>
      </c>
      <c r="K2" s="2" t="inlineStr">
        <is>
          <t>薯类</t>
        </is>
      </c>
    </row>
    <row r="3">
      <c r="A3" s="23" t="inlineStr">
        <is>
          <t>中国农作物产量</t>
        </is>
      </c>
      <c r="B3" s="3" t="n">
        <v>2001</v>
      </c>
      <c r="C3" s="3" t="n">
        <v>114.04</v>
      </c>
      <c r="D3" s="3" t="n">
        <v>177.57</v>
      </c>
      <c r="E3" s="3" t="n">
        <v>93.88</v>
      </c>
      <c r="F3" s="3" t="n">
        <v>16.08</v>
      </c>
      <c r="G3" s="3" t="n">
        <v>4.92</v>
      </c>
      <c r="H3" s="3" t="n">
        <v>8.779999999999999</v>
      </c>
      <c r="I3" s="3" t="n">
        <v>7.82</v>
      </c>
      <c r="J3" s="3" t="n">
        <v>15.4</v>
      </c>
      <c r="K3" s="3" t="n">
        <v>35.58</v>
      </c>
    </row>
    <row r="4">
      <c r="B4" s="3" t="n">
        <v>2002</v>
      </c>
      <c r="C4" s="3" t="n">
        <v>121.3</v>
      </c>
      <c r="D4" s="3" t="n">
        <v>174.54</v>
      </c>
      <c r="E4" s="3" t="n">
        <v>90.29000000000001</v>
      </c>
      <c r="F4" s="3" t="n">
        <v>16.48</v>
      </c>
      <c r="G4" s="3" t="n">
        <v>4.92</v>
      </c>
      <c r="H4" s="3" t="n">
        <v>9.15</v>
      </c>
      <c r="I4" s="3" t="n">
        <v>7.58</v>
      </c>
      <c r="J4" s="3" t="n">
        <v>14.95</v>
      </c>
      <c r="K4" s="3" t="n">
        <v>33.92</v>
      </c>
    </row>
    <row r="5">
      <c r="B5" s="3" t="n">
        <v>2003</v>
      </c>
      <c r="C5" s="3" t="n">
        <v>115.83</v>
      </c>
      <c r="D5" s="3" t="n">
        <v>166.41</v>
      </c>
      <c r="E5" s="3" t="n">
        <v>86.48999999999999</v>
      </c>
      <c r="F5" s="3" t="n">
        <v>16.64</v>
      </c>
      <c r="G5" s="3" t="n">
        <v>4.88</v>
      </c>
      <c r="H5" s="3" t="n">
        <v>10.17</v>
      </c>
      <c r="I5" s="3" t="n">
        <v>8.24</v>
      </c>
      <c r="J5" s="3" t="n">
        <v>14.72</v>
      </c>
      <c r="K5" s="3" t="n">
        <v>32.51</v>
      </c>
    </row>
    <row r="6">
      <c r="B6" s="3" t="n">
        <v>2004</v>
      </c>
      <c r="C6" s="3" t="n">
        <v>130.29</v>
      </c>
      <c r="D6" s="3" t="n">
        <v>180.56</v>
      </c>
      <c r="E6" s="3" t="n">
        <v>91.95</v>
      </c>
      <c r="F6" s="3" t="n">
        <v>18.1</v>
      </c>
      <c r="G6" s="3" t="n">
        <v>5.7</v>
      </c>
      <c r="H6" s="3" t="n">
        <v>12.21</v>
      </c>
      <c r="I6" s="3" t="n">
        <v>9.619999999999999</v>
      </c>
      <c r="J6" s="3" t="n">
        <v>15.49</v>
      </c>
      <c r="K6" s="3" t="n">
        <v>35.66</v>
      </c>
    </row>
    <row r="7">
      <c r="B7" s="3" t="n">
        <v>2005</v>
      </c>
      <c r="C7" s="3" t="n">
        <v>139.37</v>
      </c>
      <c r="D7" s="3" t="n">
        <v>180.73</v>
      </c>
      <c r="E7" s="3" t="n">
        <v>97.45</v>
      </c>
      <c r="F7" s="3" t="n">
        <v>17.78</v>
      </c>
      <c r="G7" s="3" t="n">
        <v>5.74</v>
      </c>
      <c r="H7" s="3" t="n">
        <v>12.79</v>
      </c>
      <c r="I7" s="3" t="n">
        <v>11.19</v>
      </c>
      <c r="J7" s="3" t="n">
        <v>15.97</v>
      </c>
      <c r="K7" s="3" t="n">
        <v>34.64</v>
      </c>
    </row>
    <row r="8">
      <c r="B8" s="3" t="n">
        <v>2006</v>
      </c>
      <c r="C8" s="3" t="n">
        <v>144.03</v>
      </c>
      <c r="D8" s="3" t="n">
        <v>183.42</v>
      </c>
      <c r="E8" s="3" t="n">
        <v>102.56</v>
      </c>
      <c r="F8" s="3" t="n">
        <v>18.12</v>
      </c>
      <c r="G8" s="3" t="n">
        <v>6.73</v>
      </c>
      <c r="H8" s="3" t="n">
        <v>12.45</v>
      </c>
      <c r="I8" s="3" t="n">
        <v>11.63</v>
      </c>
      <c r="J8" s="3" t="n">
        <v>16.3</v>
      </c>
      <c r="K8" s="3" t="n">
        <v>33.64</v>
      </c>
    </row>
    <row r="9">
      <c r="B9" s="3" t="n">
        <v>2007</v>
      </c>
      <c r="C9" s="3" t="n">
        <v>149.11</v>
      </c>
      <c r="D9" s="3" t="n">
        <v>185.71</v>
      </c>
      <c r="E9" s="3" t="n">
        <v>109.27</v>
      </c>
      <c r="F9" s="3" t="n">
        <v>17.84</v>
      </c>
      <c r="G9" s="3" t="n">
        <v>7.62</v>
      </c>
      <c r="H9" s="3" t="n">
        <v>12.93</v>
      </c>
      <c r="I9" s="3" t="n">
        <v>12.02</v>
      </c>
      <c r="J9" s="3" t="n">
        <v>16.79</v>
      </c>
      <c r="K9" s="3" t="n">
        <v>32.88</v>
      </c>
    </row>
    <row r="10">
      <c r="B10" s="3" t="n">
        <v>2008</v>
      </c>
      <c r="C10" s="3" t="n">
        <v>151.58</v>
      </c>
      <c r="D10" s="3" t="n">
        <v>193.35</v>
      </c>
      <c r="E10" s="3" t="n">
        <v>112.46</v>
      </c>
      <c r="F10" s="3" t="n">
        <v>19.26</v>
      </c>
      <c r="G10" s="3" t="n">
        <v>7.47</v>
      </c>
      <c r="H10" s="3" t="n">
        <v>13.1</v>
      </c>
      <c r="I10" s="3" t="n">
        <v>12.47</v>
      </c>
      <c r="J10" s="3" t="n">
        <v>17.27</v>
      </c>
      <c r="K10" s="3" t="n">
        <v>32.96</v>
      </c>
    </row>
    <row r="11">
      <c r="B11" s="3" t="n">
        <v>2009</v>
      </c>
      <c r="C11" s="3" t="n">
        <v>160</v>
      </c>
      <c r="D11" s="3" t="n">
        <v>196.78</v>
      </c>
      <c r="E11" s="3" t="n">
        <v>115.14</v>
      </c>
      <c r="F11" s="3" t="n">
        <v>19.61</v>
      </c>
      <c r="G11" s="3" t="n">
        <v>7.42</v>
      </c>
      <c r="H11" s="3" t="n">
        <v>13.64</v>
      </c>
      <c r="I11" s="3" t="n">
        <v>12.89</v>
      </c>
      <c r="J11" s="3" t="n">
        <v>17.78</v>
      </c>
      <c r="K11" s="3" t="n">
        <v>34.04</v>
      </c>
    </row>
    <row r="12">
      <c r="B12" s="3" t="n">
        <v>2010</v>
      </c>
      <c r="C12" s="3" t="n">
        <v>169.77</v>
      </c>
      <c r="D12" s="3" t="n">
        <v>200</v>
      </c>
      <c r="E12" s="3" t="n">
        <v>115.18</v>
      </c>
      <c r="F12" s="3" t="n">
        <v>20.06</v>
      </c>
      <c r="G12" s="3" t="n">
        <v>6.56</v>
      </c>
      <c r="H12" s="3" t="n">
        <v>12.69</v>
      </c>
      <c r="I12" s="3" t="n">
        <v>13.24</v>
      </c>
      <c r="J12" s="3" t="n">
        <v>17.72</v>
      </c>
      <c r="K12" s="3" t="n">
        <v>33.83</v>
      </c>
    </row>
    <row r="13">
      <c r="B13" s="3" t="n">
        <v>2011</v>
      </c>
      <c r="C13" s="3" t="n">
        <v>177.25</v>
      </c>
      <c r="D13" s="3" t="n">
        <v>200.97</v>
      </c>
      <c r="E13" s="3" t="n">
        <v>117.41</v>
      </c>
      <c r="F13" s="3" t="n">
        <v>20.8</v>
      </c>
      <c r="G13" s="3" t="n">
        <v>6.6</v>
      </c>
      <c r="H13" s="3" t="n">
        <v>12.34</v>
      </c>
      <c r="I13" s="3" t="n">
        <v>13.37</v>
      </c>
      <c r="J13" s="3" t="n">
        <v>18.2</v>
      </c>
      <c r="K13" s="3" t="n">
        <v>33.7</v>
      </c>
    </row>
    <row r="14">
      <c r="B14" s="3" t="n">
        <v>2012</v>
      </c>
      <c r="C14" s="3" t="n">
        <v>205.61</v>
      </c>
      <c r="D14" s="3" t="n">
        <v>204.29</v>
      </c>
      <c r="E14" s="3" t="n">
        <v>120.58</v>
      </c>
      <c r="F14" s="3" t="n">
        <v>21.2</v>
      </c>
      <c r="G14" s="3" t="n">
        <v>6.76</v>
      </c>
      <c r="H14" s="3" t="n">
        <v>13.18</v>
      </c>
      <c r="I14" s="3" t="n">
        <v>13.61</v>
      </c>
      <c r="J14" s="3" t="n">
        <v>18.88</v>
      </c>
      <c r="K14" s="3" t="n">
        <v>34.1</v>
      </c>
    </row>
    <row r="15">
      <c r="B15" s="3" t="n">
        <v>2013</v>
      </c>
      <c r="C15" s="3" t="n">
        <v>218.49</v>
      </c>
      <c r="D15" s="3" t="n">
        <v>202.94</v>
      </c>
      <c r="E15" s="3" t="n">
        <v>122.19</v>
      </c>
      <c r="F15" s="3" t="n">
        <v>20.98</v>
      </c>
      <c r="G15" s="3" t="n">
        <v>6.32</v>
      </c>
      <c r="H15" s="3" t="n">
        <v>14.46</v>
      </c>
      <c r="I15" s="3" t="n">
        <v>14.31</v>
      </c>
      <c r="J15" s="3" t="n">
        <v>19.45</v>
      </c>
      <c r="K15" s="3" t="n">
        <v>33.77</v>
      </c>
    </row>
    <row r="16">
      <c r="B16" s="3" t="n">
        <v>2014</v>
      </c>
      <c r="C16" s="3" t="n">
        <v>215.67</v>
      </c>
      <c r="D16" s="3" t="n">
        <v>206.39</v>
      </c>
      <c r="E16" s="3" t="n">
        <v>126.19</v>
      </c>
      <c r="F16" s="3" t="n">
        <v>21.01</v>
      </c>
      <c r="G16" s="3" t="n">
        <v>6.16</v>
      </c>
      <c r="H16" s="3" t="n">
        <v>13.76</v>
      </c>
      <c r="I16" s="3" t="n">
        <v>14.88</v>
      </c>
      <c r="J16" s="3" t="n">
        <v>19.64</v>
      </c>
      <c r="K16" s="3" t="n">
        <v>34.56</v>
      </c>
    </row>
    <row r="17">
      <c r="B17" s="3" t="n">
        <v>2015</v>
      </c>
      <c r="C17" s="3" t="n">
        <v>224.58</v>
      </c>
      <c r="D17" s="3" t="n">
        <v>207.05</v>
      </c>
      <c r="E17" s="3" t="n">
        <v>130.19</v>
      </c>
      <c r="F17" s="3" t="n">
        <v>21.13</v>
      </c>
      <c r="G17" s="3" t="n">
        <v>5.7</v>
      </c>
      <c r="H17" s="3" t="n">
        <v>13.61</v>
      </c>
      <c r="I17" s="3" t="n">
        <v>15.23</v>
      </c>
      <c r="J17" s="3" t="n">
        <v>19.62</v>
      </c>
      <c r="K17" s="3" t="n">
        <v>34.23</v>
      </c>
    </row>
    <row r="18">
      <c r="B18" s="3" t="n">
        <v>2016</v>
      </c>
      <c r="C18" s="3" t="n">
        <v>218.44</v>
      </c>
      <c r="D18" s="3" t="n">
        <v>206.64</v>
      </c>
      <c r="E18" s="3" t="n">
        <v>128.85</v>
      </c>
      <c r="F18" s="3" t="n">
        <v>21.2</v>
      </c>
      <c r="G18" s="3" t="n">
        <v>5.35</v>
      </c>
      <c r="H18" s="3" t="n">
        <v>13.29</v>
      </c>
      <c r="I18" s="3" t="n">
        <v>15.36</v>
      </c>
      <c r="J18" s="3" t="n">
        <v>19.42</v>
      </c>
      <c r="K18" s="3" t="n">
        <v>33.97</v>
      </c>
    </row>
    <row r="19">
      <c r="B19" s="3" t="n">
        <v>2017</v>
      </c>
      <c r="C19" s="3" t="n">
        <v>215.89</v>
      </c>
      <c r="D19" s="3" t="n">
        <v>212.13</v>
      </c>
      <c r="E19" s="3" t="n">
        <v>134.33</v>
      </c>
      <c r="F19" s="3" t="n">
        <v>20.77</v>
      </c>
      <c r="G19" s="3" t="n">
        <v>5.38</v>
      </c>
      <c r="H19" s="3" t="n">
        <v>13.88</v>
      </c>
      <c r="I19" s="3" t="n">
        <v>15.71</v>
      </c>
      <c r="J19" s="3" t="n">
        <v>19.77</v>
      </c>
      <c r="K19" s="3" t="n">
        <v>33.81</v>
      </c>
    </row>
    <row r="20">
      <c r="B20" s="3" t="n">
        <v>2018</v>
      </c>
      <c r="C20" s="3" t="n">
        <v>231.54</v>
      </c>
      <c r="D20" s="3" t="n">
        <v>211.85</v>
      </c>
      <c r="E20" s="3" t="n">
        <v>131.43</v>
      </c>
      <c r="F20" s="3" t="n">
        <v>20.91</v>
      </c>
      <c r="G20" s="3" t="n">
        <v>5.71</v>
      </c>
      <c r="H20" s="3" t="n">
        <v>14.21</v>
      </c>
      <c r="I20" s="3" t="n">
        <v>16.05</v>
      </c>
      <c r="J20" s="3" t="n">
        <v>20.24</v>
      </c>
      <c r="K20" s="3" t="n">
        <v>33.93</v>
      </c>
    </row>
    <row r="21">
      <c r="B21" s="3" t="n">
        <v>2019</v>
      </c>
      <c r="C21" s="3" t="n">
        <v>218.13</v>
      </c>
      <c r="D21" s="3" t="n">
        <v>212.13</v>
      </c>
      <c r="E21" s="3" t="n">
        <v>132.47</v>
      </c>
      <c r="F21" s="3" t="n">
        <v>20.62</v>
      </c>
      <c r="G21" s="3" t="n">
        <v>5.6</v>
      </c>
      <c r="H21" s="3" t="n">
        <v>14.25</v>
      </c>
      <c r="I21" s="3" t="n">
        <v>16.28</v>
      </c>
      <c r="J21" s="3" t="n">
        <v>20.72</v>
      </c>
      <c r="K21" s="3" t="n">
        <v>34.1</v>
      </c>
    </row>
    <row r="22">
      <c r="B22" s="3" t="n">
        <v>2020</v>
      </c>
      <c r="C22" s="3" t="n">
        <v>260.67</v>
      </c>
      <c r="D22" s="3" t="n">
        <v>212.87</v>
      </c>
      <c r="E22" s="3" t="n">
        <v>134.25</v>
      </c>
      <c r="F22" s="3" t="n">
        <v>20.74</v>
      </c>
      <c r="G22" s="3" t="n">
        <v>5.89</v>
      </c>
      <c r="H22" s="3" t="n">
        <v>14.23</v>
      </c>
      <c r="I22" s="3" t="n">
        <v>16.43</v>
      </c>
      <c r="J22" s="3" t="n">
        <v>21.01</v>
      </c>
      <c r="K22" s="3" t="n">
        <v>34.56</v>
      </c>
    </row>
    <row r="23">
      <c r="B23" s="3" t="n">
        <v>2021</v>
      </c>
      <c r="C23" s="3" t="n">
        <v>272.55</v>
      </c>
      <c r="D23" s="3" t="n">
        <v>211.86</v>
      </c>
      <c r="E23" s="3" t="n">
        <v>137.97</v>
      </c>
      <c r="F23" s="3" t="n">
        <v>20.92</v>
      </c>
      <c r="G23" s="3" t="n">
        <v>5.93</v>
      </c>
      <c r="H23" s="3" t="n">
        <v>14.64</v>
      </c>
      <c r="I23" s="3" t="n">
        <v>16.72</v>
      </c>
      <c r="J23" s="3" t="n">
        <v>21.29</v>
      </c>
      <c r="K23" s="3" t="n">
        <v>34.23</v>
      </c>
    </row>
    <row r="24">
      <c r="B24" s="3" t="n">
        <v>2022</v>
      </c>
      <c r="C24" s="3" t="n">
        <v>277.2</v>
      </c>
      <c r="D24" s="3" t="n">
        <v>211.72</v>
      </c>
      <c r="E24" s="3" t="n">
        <v>136.57</v>
      </c>
      <c r="F24" s="3" t="n">
        <v>21.01</v>
      </c>
      <c r="G24" s="3" t="n">
        <v>6</v>
      </c>
      <c r="H24" s="3" t="n">
        <v>14.81</v>
      </c>
      <c r="I24" s="3" t="n">
        <v>16.85</v>
      </c>
      <c r="J24" s="3" t="n">
        <v>21.68</v>
      </c>
      <c r="K24" s="3" t="n">
        <v>34.39</v>
      </c>
    </row>
    <row r="25">
      <c r="B25" s="3" t="n">
        <v>2023</v>
      </c>
      <c r="C25" s="3" t="n">
        <v>288.84</v>
      </c>
      <c r="D25" s="3" t="n">
        <v>206.6</v>
      </c>
      <c r="E25" s="3" t="n">
        <v>136.59</v>
      </c>
      <c r="F25" s="3" t="n">
        <v>21.14</v>
      </c>
      <c r="G25" s="3" t="n">
        <v>5.95</v>
      </c>
      <c r="H25" s="3" t="n">
        <v>16.32</v>
      </c>
      <c r="I25" s="3" t="n">
        <v>19.22</v>
      </c>
      <c r="J25" s="3" t="n">
        <v>20.84</v>
      </c>
      <c r="K25" s="3" t="n">
        <v>34.59</v>
      </c>
    </row>
    <row r="26">
      <c r="B26" s="15" t="n">
        <v>2024</v>
      </c>
      <c r="C26" s="17" t="n">
        <v>294.92</v>
      </c>
      <c r="D26" s="17" t="n">
        <v>207.54</v>
      </c>
      <c r="E26" s="17" t="n">
        <v>140.1</v>
      </c>
      <c r="F26" s="17" t="n">
        <v>9.74</v>
      </c>
      <c r="G26" s="17" t="n">
        <v>6.16</v>
      </c>
      <c r="H26" s="17" t="n">
        <v>16.87</v>
      </c>
      <c r="I26" s="17" t="n">
        <v>19.61</v>
      </c>
      <c r="J26" s="17" t="n">
        <v>20.65</v>
      </c>
      <c r="K26" s="17" t="n">
        <v>30.58</v>
      </c>
    </row>
    <row r="27">
      <c r="B27" s="15" t="n">
        <v>2025</v>
      </c>
      <c r="C27" s="17" t="n">
        <v>301.24</v>
      </c>
      <c r="D27" s="17" t="n">
        <v>209.04</v>
      </c>
      <c r="E27" s="17" t="n">
        <v>140.07</v>
      </c>
      <c r="F27" s="17" t="n">
        <v>9.859999999999999</v>
      </c>
      <c r="G27" s="17" t="n">
        <v>6.64</v>
      </c>
      <c r="H27" s="15" t="n"/>
      <c r="I27" s="15" t="n"/>
      <c r="J27" s="17" t="n">
        <v>20.91</v>
      </c>
      <c r="K27" s="17" t="n">
        <v>30.74</v>
      </c>
    </row>
    <row r="28">
      <c r="A28" s="5" t="n"/>
      <c r="B28" s="15" t="inlineStr">
        <is>
          <t>Total</t>
        </is>
      </c>
      <c r="C28" s="15">
        <f>SUM(C3:C27)</f>
        <v/>
      </c>
      <c r="D28" s="15">
        <f>SUM(D3:D27)</f>
        <v/>
      </c>
      <c r="E28" s="15">
        <f>SUM(E3:E27)</f>
        <v/>
      </c>
      <c r="F28" s="15">
        <f>SUM(F3:F27)</f>
        <v/>
      </c>
      <c r="G28" s="15">
        <f>SUM(G3:G27)</f>
        <v/>
      </c>
      <c r="H28" s="15">
        <f>SUM(H3:H27)</f>
        <v/>
      </c>
      <c r="I28" s="15">
        <f>SUM(I3:I27)</f>
        <v/>
      </c>
      <c r="J28" s="15">
        <f>SUM(J3:J27)</f>
        <v/>
      </c>
      <c r="K28" s="15">
        <f>SUM(K3:K27)</f>
        <v/>
      </c>
    </row>
    <row r="29">
      <c r="A29" s="5" t="n"/>
      <c r="B29" s="15" t="inlineStr">
        <is>
          <t>变化</t>
        </is>
      </c>
      <c r="C29" s="15">
        <f>C27-C3</f>
        <v/>
      </c>
      <c r="D29" s="15">
        <f>D27-D3</f>
        <v/>
      </c>
      <c r="E29" s="15">
        <f>E27-E3</f>
        <v/>
      </c>
      <c r="F29" s="15">
        <f>F27-F3</f>
        <v/>
      </c>
      <c r="G29" s="15">
        <f>G27-G3</f>
        <v/>
      </c>
      <c r="H29" s="15">
        <f>H26-H3</f>
        <v/>
      </c>
      <c r="I29" s="15">
        <f>I26-I3</f>
        <v/>
      </c>
      <c r="J29" s="15">
        <f>J27-J3</f>
        <v/>
      </c>
      <c r="K29" s="15">
        <f>K27-K3</f>
        <v/>
      </c>
    </row>
    <row r="30">
      <c r="A30" s="5" t="n"/>
      <c r="B30" s="15" t="inlineStr">
        <is>
          <t>增幅</t>
        </is>
      </c>
      <c r="C30" s="16">
        <f>C29/C3</f>
        <v/>
      </c>
      <c r="D30" s="16">
        <f>D29/D3</f>
        <v/>
      </c>
      <c r="E30" s="16">
        <f>E29/E3</f>
        <v/>
      </c>
      <c r="F30" s="16">
        <f>F29/F3</f>
        <v/>
      </c>
      <c r="G30" s="16">
        <f>G29/G3</f>
        <v/>
      </c>
      <c r="H30" s="16">
        <f>H29/H3</f>
        <v/>
      </c>
      <c r="I30" s="16">
        <f>I29/I3</f>
        <v/>
      </c>
      <c r="J30" s="16">
        <f>J29/J3</f>
        <v/>
      </c>
      <c r="K30" s="16">
        <f>K29/K3</f>
        <v/>
      </c>
    </row>
    <row r="32" ht="48" customHeight="1">
      <c r="A32" s="18" t="inlineStr">
        <is>
          <t>口径：2024、2025年按国家统计局资料补充。万吨折百万吨，保留两位小数。玉米、水稻、小麦、棉花、油菜、花生、薯类分别对应年鉴中的玉米、稻谷、小麦、棉花、油菜籽、花生、薯类（薯类为5公斤鲜薯折1公斤粮食）。</t>
        </is>
      </c>
    </row>
    <row r="33" ht="36" customHeight="1">
      <c r="A33" s="18" t="inlineStr">
        <is>
          <t>其它谷物＝谷物－稻谷－小麦－玉米。表中“豆类”与2001年、2023年的大豆一致，不是全部豆类，故2024、2025年仍填大豆（2024年2064.8万吨，2025年公报2091万吨）。</t>
        </is>
      </c>
    </row>
    <row r="34" ht="60" customHeight="1">
      <c r="A34" s="18" t="inlineStr">
        <is>
          <t>2024年引自《中国统计年鉴2025》表12-10。2025年粮食分品种引自2025年12月12日粮食产量公告；棉花664.1万吨引自棉花产量公告。年鉴2026截至2026年9月29日未上网。2025年花生、油菜籽未单列（油料合计4096万吨），这两项变化暂按2024年相对2001年计算。2023年及以前个别年份的其它谷物、棉花、薯类与最新年鉴修订数不一致，原表未改。</t>
        </is>
      </c>
    </row>
    <row r="35" ht="28.5" customHeight="1">
      <c r="A35" s="7" t="inlineStr">
        <is>
          <t>China’s Major Crop Production (Unit: Million Tons)</t>
        </is>
      </c>
    </row>
    <row r="37">
      <c r="A37" s="8" t="inlineStr">
        <is>
          <t>Year</t>
        </is>
      </c>
      <c r="B37" s="8" t="inlineStr">
        <is>
          <t>Corn</t>
        </is>
      </c>
      <c r="C37" s="8" t="inlineStr">
        <is>
          <t>Rice</t>
        </is>
      </c>
      <c r="D37" s="8" t="inlineStr">
        <is>
          <t>Wheat</t>
        </is>
      </c>
      <c r="E37" s="8" t="inlineStr">
        <is>
          <t>Other Grains</t>
        </is>
      </c>
      <c r="F37" s="8" t="inlineStr">
        <is>
          <t>Cotton</t>
        </is>
      </c>
      <c r="G37" s="8" t="inlineStr">
        <is>
          <t>Rapeseed</t>
        </is>
      </c>
      <c r="H37" s="8" t="inlineStr">
        <is>
          <t>Peanuts</t>
        </is>
      </c>
      <c r="I37" s="8" t="inlineStr">
        <is>
          <t>Beans</t>
        </is>
      </c>
      <c r="J37" s="8" t="inlineStr">
        <is>
          <t>Tuber Crops</t>
        </is>
      </c>
    </row>
    <row r="38">
      <c r="A38" s="9" t="n">
        <v>2001</v>
      </c>
      <c r="B38" s="9" t="n">
        <v>114.04</v>
      </c>
      <c r="C38" s="9" t="n">
        <v>177.57</v>
      </c>
      <c r="D38" s="9" t="n">
        <v>93.88</v>
      </c>
      <c r="E38" s="9" t="n">
        <v>16.08</v>
      </c>
      <c r="F38" s="9" t="n">
        <v>4.92</v>
      </c>
      <c r="G38" s="9" t="n">
        <v>8.779999999999999</v>
      </c>
      <c r="H38" s="9" t="n">
        <v>7.82</v>
      </c>
      <c r="I38" s="9" t="n">
        <v>15.4</v>
      </c>
      <c r="J38" s="9" t="n">
        <v>35.58</v>
      </c>
    </row>
    <row r="39">
      <c r="A39" s="9" t="n">
        <v>2002</v>
      </c>
      <c r="B39" s="9" t="n">
        <v>121.3</v>
      </c>
      <c r="C39" s="9" t="n">
        <v>174.54</v>
      </c>
      <c r="D39" s="9" t="n">
        <v>90.29000000000001</v>
      </c>
      <c r="E39" s="9" t="n">
        <v>16.48</v>
      </c>
      <c r="F39" s="9" t="n">
        <v>4.92</v>
      </c>
      <c r="G39" s="9" t="n">
        <v>9.15</v>
      </c>
      <c r="H39" s="9" t="n">
        <v>7.58</v>
      </c>
      <c r="I39" s="9" t="n">
        <v>14.95</v>
      </c>
      <c r="J39" s="9" t="n">
        <v>33.92</v>
      </c>
    </row>
    <row r="40">
      <c r="A40" s="9" t="n">
        <v>2003</v>
      </c>
      <c r="B40" s="9" t="n">
        <v>115.83</v>
      </c>
      <c r="C40" s="9" t="n">
        <v>166.41</v>
      </c>
      <c r="D40" s="9" t="n">
        <v>86.48999999999999</v>
      </c>
      <c r="E40" s="9" t="n">
        <v>16.64</v>
      </c>
      <c r="F40" s="9" t="n">
        <v>4.88</v>
      </c>
      <c r="G40" s="9" t="n">
        <v>10.17</v>
      </c>
      <c r="H40" s="9" t="n">
        <v>8.24</v>
      </c>
      <c r="I40" s="9" t="n">
        <v>14.72</v>
      </c>
      <c r="J40" s="9" t="n">
        <v>32.51</v>
      </c>
    </row>
    <row r="41">
      <c r="A41" s="9" t="n">
        <v>2004</v>
      </c>
      <c r="B41" s="9" t="n">
        <v>130.29</v>
      </c>
      <c r="C41" s="9" t="n">
        <v>180.56</v>
      </c>
      <c r="D41" s="9" t="n">
        <v>91.95</v>
      </c>
      <c r="E41" s="9" t="n">
        <v>18.1</v>
      </c>
      <c r="F41" s="9" t="n">
        <v>5.7</v>
      </c>
      <c r="G41" s="9" t="n">
        <v>12.21</v>
      </c>
      <c r="H41" s="9" t="n">
        <v>9.619999999999999</v>
      </c>
      <c r="I41" s="9" t="n">
        <v>15.49</v>
      </c>
      <c r="J41" s="9" t="n">
        <v>35.66</v>
      </c>
    </row>
    <row r="42">
      <c r="A42" s="9" t="n">
        <v>2005</v>
      </c>
      <c r="B42" s="9" t="n">
        <v>139.37</v>
      </c>
      <c r="C42" s="9" t="n">
        <v>180.73</v>
      </c>
      <c r="D42" s="9" t="n">
        <v>97.45</v>
      </c>
      <c r="E42" s="9" t="n">
        <v>17.78</v>
      </c>
      <c r="F42" s="9" t="n">
        <v>5.74</v>
      </c>
      <c r="G42" s="9" t="n">
        <v>12.79</v>
      </c>
      <c r="H42" s="9" t="n">
        <v>11.19</v>
      </c>
      <c r="I42" s="9" t="n">
        <v>15.97</v>
      </c>
      <c r="J42" s="9" t="n">
        <v>34.64</v>
      </c>
    </row>
    <row r="43">
      <c r="A43" s="9" t="n">
        <v>2006</v>
      </c>
      <c r="B43" s="9" t="n">
        <v>144.03</v>
      </c>
      <c r="C43" s="9" t="n">
        <v>183.42</v>
      </c>
      <c r="D43" s="9" t="n">
        <v>102.56</v>
      </c>
      <c r="E43" s="9" t="n">
        <v>18.12</v>
      </c>
      <c r="F43" s="9" t="n">
        <v>6.73</v>
      </c>
      <c r="G43" s="9" t="n">
        <v>12.45</v>
      </c>
      <c r="H43" s="9" t="n">
        <v>11.63</v>
      </c>
      <c r="I43" s="9" t="n">
        <v>16.3</v>
      </c>
      <c r="J43" s="9" t="n">
        <v>33.64</v>
      </c>
    </row>
    <row r="44">
      <c r="A44" s="9" t="n">
        <v>2007</v>
      </c>
      <c r="B44" s="9" t="n">
        <v>149.11</v>
      </c>
      <c r="C44" s="9" t="n">
        <v>185.71</v>
      </c>
      <c r="D44" s="9" t="n">
        <v>109.27</v>
      </c>
      <c r="E44" s="9" t="n">
        <v>17.84</v>
      </c>
      <c r="F44" s="9" t="n">
        <v>7.62</v>
      </c>
      <c r="G44" s="9" t="n">
        <v>12.93</v>
      </c>
      <c r="H44" s="9" t="n">
        <v>12.02</v>
      </c>
      <c r="I44" s="9" t="n">
        <v>16.79</v>
      </c>
      <c r="J44" s="9" t="n">
        <v>32.88</v>
      </c>
    </row>
    <row r="45">
      <c r="A45" s="9" t="n">
        <v>2008</v>
      </c>
      <c r="B45" s="9" t="n">
        <v>151.58</v>
      </c>
      <c r="C45" s="9" t="n">
        <v>193.35</v>
      </c>
      <c r="D45" s="9" t="n">
        <v>112.46</v>
      </c>
      <c r="E45" s="9" t="n">
        <v>19.26</v>
      </c>
      <c r="F45" s="9" t="n">
        <v>7.47</v>
      </c>
      <c r="G45" s="9" t="n">
        <v>13.1</v>
      </c>
      <c r="H45" s="9" t="n">
        <v>12.47</v>
      </c>
      <c r="I45" s="9" t="n">
        <v>17.27</v>
      </c>
      <c r="J45" s="9" t="n">
        <v>32.96</v>
      </c>
    </row>
    <row r="46">
      <c r="A46" s="9" t="n">
        <v>2009</v>
      </c>
      <c r="B46" s="9" t="n">
        <v>160</v>
      </c>
      <c r="C46" s="9" t="n">
        <v>196.78</v>
      </c>
      <c r="D46" s="9" t="n">
        <v>115.14</v>
      </c>
      <c r="E46" s="9" t="n">
        <v>19.61</v>
      </c>
      <c r="F46" s="9" t="n">
        <v>7.42</v>
      </c>
      <c r="G46" s="9" t="n">
        <v>13.64</v>
      </c>
      <c r="H46" s="9" t="n">
        <v>12.89</v>
      </c>
      <c r="I46" s="9" t="n">
        <v>17.78</v>
      </c>
      <c r="J46" s="9" t="n">
        <v>34.04</v>
      </c>
    </row>
    <row r="47">
      <c r="A47" s="9" t="n">
        <v>2010</v>
      </c>
      <c r="B47" s="9" t="n">
        <v>169.77</v>
      </c>
      <c r="C47" s="9" t="n">
        <v>200</v>
      </c>
      <c r="D47" s="9" t="n">
        <v>115.18</v>
      </c>
      <c r="E47" s="9" t="n">
        <v>20.06</v>
      </c>
      <c r="F47" s="9" t="n">
        <v>6.56</v>
      </c>
      <c r="G47" s="9" t="n">
        <v>12.69</v>
      </c>
      <c r="H47" s="9" t="n">
        <v>13.24</v>
      </c>
      <c r="I47" s="9" t="n">
        <v>17.72</v>
      </c>
      <c r="J47" s="9" t="n">
        <v>33.83</v>
      </c>
    </row>
    <row r="48">
      <c r="A48" s="9" t="n">
        <v>2011</v>
      </c>
      <c r="B48" s="9" t="n">
        <v>177.25</v>
      </c>
      <c r="C48" s="9" t="n">
        <v>200.97</v>
      </c>
      <c r="D48" s="9" t="n">
        <v>117.41</v>
      </c>
      <c r="E48" s="9" t="n">
        <v>20.8</v>
      </c>
      <c r="F48" s="9" t="n">
        <v>6.6</v>
      </c>
      <c r="G48" s="9" t="n">
        <v>12.34</v>
      </c>
      <c r="H48" s="9" t="n">
        <v>13.37</v>
      </c>
      <c r="I48" s="9" t="n">
        <v>18.2</v>
      </c>
      <c r="J48" s="9" t="n">
        <v>33.7</v>
      </c>
    </row>
    <row r="49">
      <c r="A49" s="9" t="n">
        <v>2012</v>
      </c>
      <c r="B49" s="9" t="n">
        <v>205.61</v>
      </c>
      <c r="C49" s="9" t="n">
        <v>204.29</v>
      </c>
      <c r="D49" s="9" t="n">
        <v>120.58</v>
      </c>
      <c r="E49" s="9" t="n">
        <v>21.2</v>
      </c>
      <c r="F49" s="9" t="n">
        <v>6.76</v>
      </c>
      <c r="G49" s="9" t="n">
        <v>13.18</v>
      </c>
      <c r="H49" s="9" t="n">
        <v>13.61</v>
      </c>
      <c r="I49" s="9" t="n">
        <v>18.88</v>
      </c>
      <c r="J49" s="9" t="n">
        <v>34.1</v>
      </c>
    </row>
    <row r="50">
      <c r="A50" s="9" t="n">
        <v>2013</v>
      </c>
      <c r="B50" s="9" t="n">
        <v>218.49</v>
      </c>
      <c r="C50" s="9" t="n">
        <v>202.94</v>
      </c>
      <c r="D50" s="9" t="n">
        <v>122.19</v>
      </c>
      <c r="E50" s="9" t="n">
        <v>20.98</v>
      </c>
      <c r="F50" s="9" t="n">
        <v>6.32</v>
      </c>
      <c r="G50" s="9" t="n">
        <v>14.46</v>
      </c>
      <c r="H50" s="9" t="n">
        <v>14.31</v>
      </c>
      <c r="I50" s="9" t="n">
        <v>19.45</v>
      </c>
      <c r="J50" s="9" t="n">
        <v>33.77</v>
      </c>
    </row>
    <row r="51">
      <c r="A51" s="9" t="n">
        <v>2014</v>
      </c>
      <c r="B51" s="9" t="n">
        <v>215.67</v>
      </c>
      <c r="C51" s="9" t="n">
        <v>206.39</v>
      </c>
      <c r="D51" s="9" t="n">
        <v>126.19</v>
      </c>
      <c r="E51" s="9" t="n">
        <v>21.01</v>
      </c>
      <c r="F51" s="9" t="n">
        <v>6.16</v>
      </c>
      <c r="G51" s="9" t="n">
        <v>13.76</v>
      </c>
      <c r="H51" s="9" t="n">
        <v>14.88</v>
      </c>
      <c r="I51" s="9" t="n">
        <v>19.64</v>
      </c>
      <c r="J51" s="9" t="n">
        <v>34.56</v>
      </c>
    </row>
    <row r="52">
      <c r="A52" s="9" t="n">
        <v>2015</v>
      </c>
      <c r="B52" s="9" t="n">
        <v>224.58</v>
      </c>
      <c r="C52" s="9" t="n">
        <v>207.05</v>
      </c>
      <c r="D52" s="9" t="n">
        <v>130.19</v>
      </c>
      <c r="E52" s="9" t="n">
        <v>21.13</v>
      </c>
      <c r="F52" s="9" t="n">
        <v>5.7</v>
      </c>
      <c r="G52" s="9" t="n">
        <v>13.61</v>
      </c>
      <c r="H52" s="9" t="n">
        <v>15.23</v>
      </c>
      <c r="I52" s="9" t="n">
        <v>19.62</v>
      </c>
      <c r="J52" s="9" t="n">
        <v>34.23</v>
      </c>
    </row>
    <row r="53">
      <c r="A53" s="9" t="n">
        <v>2016</v>
      </c>
      <c r="B53" s="9" t="n">
        <v>218.44</v>
      </c>
      <c r="C53" s="9" t="n">
        <v>206.64</v>
      </c>
      <c r="D53" s="9" t="n">
        <v>128.85</v>
      </c>
      <c r="E53" s="9" t="n">
        <v>21.2</v>
      </c>
      <c r="F53" s="9" t="n">
        <v>5.35</v>
      </c>
      <c r="G53" s="9" t="n">
        <v>13.29</v>
      </c>
      <c r="H53" s="9" t="n">
        <v>15.36</v>
      </c>
      <c r="I53" s="9" t="n">
        <v>19.42</v>
      </c>
      <c r="J53" s="9" t="n">
        <v>33.97</v>
      </c>
    </row>
    <row r="54">
      <c r="A54" s="9" t="n">
        <v>2017</v>
      </c>
      <c r="B54" s="9" t="n">
        <v>215.89</v>
      </c>
      <c r="C54" s="9" t="n">
        <v>212.13</v>
      </c>
      <c r="D54" s="9" t="n">
        <v>134.33</v>
      </c>
      <c r="E54" s="9" t="n">
        <v>20.77</v>
      </c>
      <c r="F54" s="9" t="n">
        <v>5.38</v>
      </c>
      <c r="G54" s="9" t="n">
        <v>13.88</v>
      </c>
      <c r="H54" s="9" t="n">
        <v>15.71</v>
      </c>
      <c r="I54" s="9" t="n">
        <v>19.77</v>
      </c>
      <c r="J54" s="9" t="n">
        <v>33.81</v>
      </c>
    </row>
    <row r="55">
      <c r="A55" s="9" t="n">
        <v>2018</v>
      </c>
      <c r="B55" s="9" t="n">
        <v>231.54</v>
      </c>
      <c r="C55" s="9" t="n">
        <v>211.85</v>
      </c>
      <c r="D55" s="9" t="n">
        <v>131.43</v>
      </c>
      <c r="E55" s="9" t="n">
        <v>20.91</v>
      </c>
      <c r="F55" s="9" t="n">
        <v>5.71</v>
      </c>
      <c r="G55" s="9" t="n">
        <v>14.21</v>
      </c>
      <c r="H55" s="9" t="n">
        <v>16.05</v>
      </c>
      <c r="I55" s="9" t="n">
        <v>20.24</v>
      </c>
      <c r="J55" s="9" t="n">
        <v>33.93</v>
      </c>
    </row>
    <row r="56">
      <c r="A56" s="9" t="n">
        <v>2019</v>
      </c>
      <c r="B56" s="9" t="n">
        <v>218.13</v>
      </c>
      <c r="C56" s="9" t="n">
        <v>212.13</v>
      </c>
      <c r="D56" s="9" t="n">
        <v>132.47</v>
      </c>
      <c r="E56" s="9" t="n">
        <v>20.62</v>
      </c>
      <c r="F56" s="9" t="n">
        <v>5.6</v>
      </c>
      <c r="G56" s="9" t="n">
        <v>14.25</v>
      </c>
      <c r="H56" s="9" t="n">
        <v>16.28</v>
      </c>
      <c r="I56" s="9" t="n">
        <v>20.72</v>
      </c>
      <c r="J56" s="9" t="n">
        <v>34.1</v>
      </c>
    </row>
    <row r="57">
      <c r="A57" s="9" t="n">
        <v>2020</v>
      </c>
      <c r="B57" s="9" t="n">
        <v>260.67</v>
      </c>
      <c r="C57" s="9" t="n">
        <v>212.87</v>
      </c>
      <c r="D57" s="9" t="n">
        <v>134.25</v>
      </c>
      <c r="E57" s="9" t="n">
        <v>20.74</v>
      </c>
      <c r="F57" s="9" t="n">
        <v>5.89</v>
      </c>
      <c r="G57" s="9" t="n">
        <v>14.23</v>
      </c>
      <c r="H57" s="9" t="n">
        <v>16.43</v>
      </c>
      <c r="I57" s="9" t="n">
        <v>21.01</v>
      </c>
      <c r="J57" s="9" t="n">
        <v>34.56</v>
      </c>
    </row>
    <row r="58">
      <c r="A58" s="9" t="n">
        <v>2021</v>
      </c>
      <c r="B58" s="9" t="n">
        <v>272.55</v>
      </c>
      <c r="C58" s="9" t="n">
        <v>211.86</v>
      </c>
      <c r="D58" s="9" t="n">
        <v>137.97</v>
      </c>
      <c r="E58" s="9" t="n">
        <v>20.92</v>
      </c>
      <c r="F58" s="9" t="n">
        <v>5.93</v>
      </c>
      <c r="G58" s="9" t="n">
        <v>14.64</v>
      </c>
      <c r="H58" s="9" t="n">
        <v>16.72</v>
      </c>
      <c r="I58" s="9" t="n">
        <v>21.29</v>
      </c>
      <c r="J58" s="9" t="n">
        <v>34.23</v>
      </c>
    </row>
    <row r="59">
      <c r="A59" s="9" t="n">
        <v>2022</v>
      </c>
      <c r="B59" s="9" t="n">
        <v>277.2</v>
      </c>
      <c r="C59" s="9" t="n">
        <v>211.72</v>
      </c>
      <c r="D59" s="9" t="n">
        <v>136.57</v>
      </c>
      <c r="E59" s="9" t="n">
        <v>21.01</v>
      </c>
      <c r="F59" s="9" t="n">
        <v>6</v>
      </c>
      <c r="G59" s="9" t="n">
        <v>14.81</v>
      </c>
      <c r="H59" s="9" t="n">
        <v>16.85</v>
      </c>
      <c r="I59" s="9" t="n">
        <v>21.68</v>
      </c>
      <c r="J59" s="9" t="n">
        <v>34.39</v>
      </c>
    </row>
    <row r="60">
      <c r="A60" s="9" t="n">
        <v>2023</v>
      </c>
      <c r="B60" s="9" t="n">
        <v>288.84</v>
      </c>
      <c r="C60" s="9" t="n">
        <v>206.6</v>
      </c>
      <c r="D60" s="9" t="n">
        <v>136.59</v>
      </c>
      <c r="E60" s="9" t="n">
        <v>21.14</v>
      </c>
      <c r="F60" s="9" t="n">
        <v>5.95</v>
      </c>
      <c r="G60" s="9" t="n">
        <v>16.32</v>
      </c>
      <c r="H60" s="9" t="n">
        <v>19.22</v>
      </c>
      <c r="I60" s="9" t="n">
        <v>20.84</v>
      </c>
      <c r="J60" s="9" t="n">
        <v>34.59</v>
      </c>
    </row>
    <row r="61" ht="28.5" customHeight="1">
      <c r="A61" s="15" t="n">
        <v>2024</v>
      </c>
      <c r="B61" s="17" t="n">
        <v>294.92</v>
      </c>
      <c r="C61" s="17" t="n">
        <v>207.54</v>
      </c>
      <c r="D61" s="17" t="n">
        <v>140.1</v>
      </c>
      <c r="E61" s="17" t="n">
        <v>9.74</v>
      </c>
      <c r="F61" s="17" t="n">
        <v>6.16</v>
      </c>
      <c r="G61" s="17" t="n">
        <v>16.87</v>
      </c>
      <c r="H61" s="17" t="n">
        <v>19.61</v>
      </c>
      <c r="I61" s="17" t="n">
        <v>20.65</v>
      </c>
      <c r="J61" s="17" t="n">
        <v>30.58</v>
      </c>
    </row>
    <row r="62">
      <c r="A62" s="15" t="n">
        <v>2025</v>
      </c>
      <c r="B62" s="17" t="n">
        <v>301.24</v>
      </c>
      <c r="C62" s="17" t="n">
        <v>209.04</v>
      </c>
      <c r="D62" s="17" t="n">
        <v>140.07</v>
      </c>
      <c r="E62" s="17" t="n">
        <v>9.859999999999999</v>
      </c>
      <c r="F62" s="17" t="n">
        <v>6.64</v>
      </c>
      <c r="G62" s="15" t="n"/>
      <c r="H62" s="15" t="n"/>
      <c r="I62" s="17" t="n">
        <v>20.91</v>
      </c>
      <c r="J62" s="17" t="n">
        <v>30.74</v>
      </c>
    </row>
    <row r="63">
      <c r="A63" s="19" t="inlineStr">
        <is>
          <t>Total</t>
        </is>
      </c>
      <c r="B63" s="15">
        <f>SUM(B38:B62)</f>
        <v/>
      </c>
      <c r="C63" s="15">
        <f>SUM(C38:C62)</f>
        <v/>
      </c>
      <c r="D63" s="15">
        <f>SUM(D38:D62)</f>
        <v/>
      </c>
      <c r="E63" s="15">
        <f>SUM(E38:E62)</f>
        <v/>
      </c>
      <c r="F63" s="15">
        <f>SUM(F38:F62)</f>
        <v/>
      </c>
      <c r="G63" s="15">
        <f>SUM(G38:G62)</f>
        <v/>
      </c>
      <c r="H63" s="15">
        <f>SUM(H38:H62)</f>
        <v/>
      </c>
      <c r="I63" s="15">
        <f>SUM(I38:I62)</f>
        <v/>
      </c>
      <c r="J63" s="15">
        <f>SUM(J38:J62)</f>
        <v/>
      </c>
    </row>
    <row r="64">
      <c r="A64" s="19" t="inlineStr">
        <is>
          <t>Change</t>
        </is>
      </c>
      <c r="B64" s="15">
        <f>B62-B38</f>
        <v/>
      </c>
      <c r="C64" s="15">
        <f>C62-C38</f>
        <v/>
      </c>
      <c r="D64" s="15">
        <f>D62-D38</f>
        <v/>
      </c>
      <c r="E64" s="15">
        <f>E62-E38</f>
        <v/>
      </c>
      <c r="F64" s="15">
        <f>F62-F38</f>
        <v/>
      </c>
      <c r="G64" s="15">
        <f>G61-G38</f>
        <v/>
      </c>
      <c r="H64" s="15">
        <f>H61-H38</f>
        <v/>
      </c>
      <c r="I64" s="15">
        <f>I62-I38</f>
        <v/>
      </c>
      <c r="J64" s="15">
        <f>J62-J38</f>
        <v/>
      </c>
    </row>
    <row r="65">
      <c r="A65" s="19" t="inlineStr">
        <is>
          <t>Growth Rate</t>
        </is>
      </c>
      <c r="B65" s="20">
        <f>B64/B38</f>
        <v/>
      </c>
      <c r="C65" s="20">
        <f>C64/C38</f>
        <v/>
      </c>
      <c r="D65" s="20">
        <f>D64/D38</f>
        <v/>
      </c>
      <c r="E65" s="20">
        <f>E64/E38</f>
        <v/>
      </c>
      <c r="F65" s="20">
        <f>F64/F38</f>
        <v/>
      </c>
      <c r="G65" s="20">
        <f>G64/G38</f>
        <v/>
      </c>
      <c r="H65" s="20">
        <f>H64/H38</f>
        <v/>
      </c>
      <c r="I65" s="20">
        <f>I64/I38</f>
        <v/>
      </c>
      <c r="J65" s="20">
        <f>J64/J38</f>
        <v/>
      </c>
    </row>
    <row r="66">
      <c r="A66" s="12" t="n"/>
    </row>
    <row r="67" ht="32" customHeight="1">
      <c r="A67" s="21" t="inlineStr">
        <is>
          <t>Other Grains = cereals minus rice, wheat and corn (China Statistical Yearbook definition).</t>
        </is>
      </c>
    </row>
    <row r="68" ht="32" customHeight="1">
      <c r="A68" s="21" t="inlineStr">
        <is>
          <t>Tuber crops are potato and sweet potato on a grain-equivalent basis (5 kg fresh = 1 kg grain).</t>
        </is>
      </c>
    </row>
    <row r="69" ht="32" customHeight="1">
      <c r="A69" s="21" t="inlineStr">
        <is>
          <t>Beans in this table follow soybeans. The 2001 and 2023 figures match soybean output, not all pulses.</t>
        </is>
      </c>
    </row>
    <row r="70" ht="32" customHeight="1">
      <c r="A70" s="21" t="inlineStr">
        <is>
          <t>Change is 2025 minus 2001, in million tons. Rapeseed and peanuts use 2024, because 2025 detail is not yet published.</t>
        </is>
      </c>
    </row>
    <row r="71" ht="32" customHeight="1">
      <c r="A71" s="21" t="inlineStr">
        <is>
          <t>Growth Rate is that change divided by 2001 output.</t>
        </is>
      </c>
    </row>
    <row r="72" ht="32" customHeight="1">
      <c r="A72" s="22" t="inlineStr">
        <is>
          <t>2024 source: China Statistical Yearbook 2025, Table 12-10 (10,000 tons converted to million tons, two decimals).</t>
        </is>
      </c>
    </row>
    <row r="73" ht="32" customHeight="1">
      <c r="A73" s="22" t="inlineStr">
        <is>
          <t>2025 source: NBS grain output bulletin (12 Dec 2025), cotton output bulletin (664.1万t) and the 2025 statistical communique (soybeans 2091万t). China Statistical Yearbook 2026 was not online as of 29 Sep 2026.</t>
        </is>
      </c>
    </row>
    <row r="74" ht="32" customHeight="1">
      <c r="A74" s="22" t="inlineStr">
        <is>
          <t>From 2024 onward, other grains, cotton and tubers use the latest yearbook definitions. Some earlier rows, including 2023, do not match the revised yearbook and are left unchanged.</t>
        </is>
      </c>
    </row>
  </sheetData>
  <mergeCells count="13">
    <mergeCell ref="C1:K1"/>
    <mergeCell ref="A34:K34"/>
    <mergeCell ref="A71:J71"/>
    <mergeCell ref="A74:J74"/>
    <mergeCell ref="A70:J70"/>
    <mergeCell ref="A67:J67"/>
    <mergeCell ref="A3:A27"/>
    <mergeCell ref="A33:K33"/>
    <mergeCell ref="A69:J69"/>
    <mergeCell ref="A73:J73"/>
    <mergeCell ref="A32:K32"/>
    <mergeCell ref="A72:J72"/>
    <mergeCell ref="A68:J68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伊坤朋</dc:creator>
  <dcterms:created xsi:type="dcterms:W3CDTF">2015-06-05T18:19:34Z</dcterms:created>
  <dcterms:modified xsi:type="dcterms:W3CDTF">2026-09-29T07:42:55Z</dcterms:modified>
  <cp:lastModifiedBy>坤朋 伊</cp:lastModifiedBy>
</cp:coreProperties>
</file>